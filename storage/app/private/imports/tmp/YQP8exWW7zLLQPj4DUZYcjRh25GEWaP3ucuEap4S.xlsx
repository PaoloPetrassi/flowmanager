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d4c45e8b3b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i" sheetId="1" r:id="Rce9f05ac01134885"/>
    <x:sheet xmlns:r="http://schemas.openxmlformats.org/officeDocument/2006/relationships" name="Riepilogo" sheetId="2" r:id="R042938b9a721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€ #,##0.00"/>
    <x:numFmt numFmtId="202" formatCode="0%"/>
    <x:numFmt numFmtId="203" formatCode="dd/mm/yyyy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201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3" fillId="3" borderId="24" xfId="0" applyNumberFormat="1" applyFont="1" applyFill="1" applyBorder="1"/>
    <x:xf numFmtId="0" fontId="3" fillId="3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201" fontId="0" fillId="0" borderId="27" xfId="0" applyNumberFormat="1" applyFont="1" applyFill="1" applyBorder="1"/>
    <x:xf numFmtId="0" fontId="0" fillId="0" borderId="28" xfId="0" applyNumberFormat="1" applyFont="1" applyFill="1" applyBorder="1"/>
    <x:xf numFmtId="201" fontId="0" fillId="0" borderId="2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7450d00f7f49c7" /><Relationship Type="http://schemas.openxmlformats.org/officeDocument/2006/relationships/theme" Target="/xl/theme/theme1.xml" Id="Ra228ce29ff6d4f2a" /><Relationship Type="http://schemas.openxmlformats.org/officeDocument/2006/relationships/sharedStrings" Target="/xl/sharedStrings.xml" Id="Rabd3d7dff0d2425a" /><Relationship Type="http://schemas.openxmlformats.org/officeDocument/2006/relationships/worksheet" Target="/xl/worksheets/sheet1.xml" Id="Rce9f05ac01134885" /><Relationship Type="http://schemas.openxmlformats.org/officeDocument/2006/relationships/worksheet" Target="/xl/worksheets/sheet2.xml" Id="R042938b9a7214b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4a7af0a4d046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Ordini per categoria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N. ordini</c:v>
          </c:tx>
          <c:cat>
            <c:strRef>
              <c:f>'Riepilogo'!$D$4:$D$8</c:f>
              <c:strCache>
                <c:ptCount val="0"/>
              </c:strCache>
            </c:strRef>
          </c:cat>
          <c:val>
            <c:numRef>
              <c:f>'Riepilogo'!$E$4:$E$8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a7af0a4d046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iniRandom" displayName="OrdiniRandom" ref="A1:J51" headerRowCount="1" totalsRowCount="0" totalsRowShown="0">
  <x:tableColumns count="10">
    <x:tableColumn id="1" name="ID"/>
    <x:tableColumn id="2" name="Cliente"/>
    <x:tableColumn id="3" name="Categoria"/>
    <x:tableColumn id="4" name="Quantità"/>
    <x:tableColumn id="5" name="Prezzo unitario"/>
    <x:tableColumn id="6" name="Sconto %"/>
    <x:tableColumn id="7" name="Totale lordo"/>
    <x:tableColumn id="8" name="Totale netto"/>
    <x:tableColumn id="9" name="Data ordine"/>
    <x:tableColumn id="10" name="Sta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51e4f12234f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95695318e6a426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10" hidden="0" customWidth="1"/>
    <x:col min="5" max="5" width="16" hidden="0" customWidth="1"/>
    <x:col min="6" max="6" width="11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</x:cols>
  <x:sheetData>
    <x:row r="1">
      <x:c r="A1" s="10" t="str">
        <x:v>ID</x:v>
      </x:c>
      <x:c r="B1" s="11" t="str">
        <x:v>Cliente</x:v>
      </x:c>
      <x:c r="C1" s="11" t="str">
        <x:v>Categoria</x:v>
      </x:c>
      <x:c r="D1" s="11" t="str">
        <x:v>Quantità</x:v>
      </x:c>
      <x:c r="E1" s="11" t="str">
        <x:v>Prezzo unitario</x:v>
      </x:c>
      <x:c r="F1" s="11" t="str">
        <x:v>Sconto %</x:v>
      </x:c>
      <x:c r="G1" s="11" t="str">
        <x:v>Totale lordo</x:v>
      </x:c>
      <x:c r="H1" s="11" t="str">
        <x:v>Totale netto</x:v>
      </x:c>
      <x:c r="I1" s="11" t="str">
        <x:v>Data ordine</x:v>
      </x:c>
      <x:c r="J1" s="12" t="str">
        <x:v>Stato</x:v>
      </x:c>
    </x:row>
    <x:row r="2">
      <x:c r="A2" s="13" t="str">
        <x:v>ORD-0001</x:v>
      </x:c>
      <x:c r="B2" s="14" t="str">
        <x:v>Sara Ferrari</x:v>
      </x:c>
      <x:c r="C2" s="14" t="str">
        <x:v>Licenze</x:v>
      </x:c>
      <x:c r="D2" s="27" t="n">
        <x:v>10</x:v>
      </x:c>
      <x:c r="E2" s="31" t="n">
        <x:v>440.19</x:v>
      </x:c>
      <x:c r="F2" s="35" t="n">
        <x:v>0</x:v>
      </x:c>
      <x:c r="G2" s="31" t="n">
        <x:f>D2*E2</x:f>
        <x:v>4401.9</x:v>
      </x:c>
      <x:c r="H2" s="31" t="n">
        <x:f>G2*(1-F2)</x:f>
        <x:v>4401.9</x:v>
      </x:c>
      <x:c r="I2" s="39" t="n">
        <x:v>46135</x:v>
      </x:c>
      <x:c r="J2" s="15" t="str">
        <x:v>In attesa</x:v>
      </x:c>
    </x:row>
    <x:row r="3">
      <x:c r="A3" s="13" t="str">
        <x:v>ORD-0002</x:v>
      </x:c>
      <x:c r="B3" s="14" t="str">
        <x:v>Giulia Ricci</x:v>
      </x:c>
      <x:c r="C3" s="14" t="str">
        <x:v>Servizi</x:v>
      </x:c>
      <x:c r="D3" s="27" t="n">
        <x:v>17</x:v>
      </x:c>
      <x:c r="E3" s="31" t="n">
        <x:v>228.22</x:v>
      </x:c>
      <x:c r="F3" s="35" t="n">
        <x:v>0.15</x:v>
      </x:c>
      <x:c r="G3" s="31" t="n">
        <x:f>D3*E3</x:f>
        <x:v>3879.74</x:v>
      </x:c>
      <x:c r="H3" s="31" t="n">
        <x:f>G3*(1-F3)</x:f>
        <x:v>3297.7789999999995</x:v>
      </x:c>
      <x:c r="I3" s="39" t="n">
        <x:v>46090</x:v>
      </x:c>
      <x:c r="J3" s="15" t="str">
        <x:v>In lavorazione</x:v>
      </x:c>
    </x:row>
    <x:row r="4">
      <x:c r="A4" s="13" t="str">
        <x:v>ORD-0003</x:v>
      </x:c>
      <x:c r="B4" s="14" t="str">
        <x:v>Andrea Conti</x:v>
      </x:c>
      <x:c r="C4" s="14" t="str">
        <x:v>Accessori</x:v>
      </x:c>
      <x:c r="D4" s="27" t="n">
        <x:v>2</x:v>
      </x:c>
      <x:c r="E4" s="31" t="n">
        <x:v>135.79</x:v>
      </x:c>
      <x:c r="F4" s="35" t="n">
        <x:v>0.2</x:v>
      </x:c>
      <x:c r="G4" s="31" t="n">
        <x:f>D4*E4</x:f>
        <x:v>271.58</x:v>
      </x:c>
      <x:c r="H4" s="31" t="n">
        <x:f>G4*(1-F4)</x:f>
        <x:v>217.264</x:v>
      </x:c>
      <x:c r="I4" s="39" t="n">
        <x:v>46080</x:v>
      </x:c>
      <x:c r="J4" s="15" t="str">
        <x:v>Completato</x:v>
      </x:c>
    </x:row>
    <x:row r="5">
      <x:c r="A5" s="13" t="str">
        <x:v>ORD-0004</x:v>
      </x:c>
      <x:c r="B5" s="14" t="str">
        <x:v>Sara Conti</x:v>
      </x:c>
      <x:c r="C5" s="14" t="str">
        <x:v>Servizi</x:v>
      </x:c>
      <x:c r="D5" s="27" t="n">
        <x:v>4</x:v>
      </x:c>
      <x:c r="E5" s="31" t="n">
        <x:v>440.92</x:v>
      </x:c>
      <x:c r="F5" s="35" t="n">
        <x:v>0.15</x:v>
      </x:c>
      <x:c r="G5" s="31" t="n">
        <x:f>D5*E5</x:f>
        <x:v>1763.68</x:v>
      </x:c>
      <x:c r="H5" s="31" t="n">
        <x:f>G5*(1-F5)</x:f>
        <x:v>1499.128</x:v>
      </x:c>
      <x:c r="I5" s="39" t="n">
        <x:v>46237</x:v>
      </x:c>
      <x:c r="J5" s="15" t="str">
        <x:v>Completato</x:v>
      </x:c>
    </x:row>
    <x:row r="6">
      <x:c r="A6" s="13" t="str">
        <x:v>ORD-0005</x:v>
      </x:c>
      <x:c r="B6" s="14" t="str">
        <x:v>Andrea Marino</x:v>
      </x:c>
      <x:c r="C6" s="14" t="str">
        <x:v>Licenze</x:v>
      </x:c>
      <x:c r="D6" s="27" t="n">
        <x:v>11</x:v>
      </x:c>
      <x:c r="E6" s="31" t="n">
        <x:v>430.68</x:v>
      </x:c>
      <x:c r="F6" s="35" t="n">
        <x:v>0.05</x:v>
      </x:c>
      <x:c r="G6" s="31" t="n">
        <x:f>D6*E6</x:f>
        <x:v>4737.4800000000005</x:v>
      </x:c>
      <x:c r="H6" s="31" t="n">
        <x:f>G6*(1-F6)</x:f>
        <x:v>4500.606000000001</x:v>
      </x:c>
      <x:c r="I6" s="39" t="n">
        <x:v>46146</x:v>
      </x:c>
      <x:c r="J6" s="15" t="str">
        <x:v>In attesa</x:v>
      </x:c>
    </x:row>
    <x:row r="7">
      <x:c r="A7" s="13" t="str">
        <x:v>ORD-0006</x:v>
      </x:c>
      <x:c r="B7" s="14" t="str">
        <x:v>Elena Ricci</x:v>
      </x:c>
      <x:c r="C7" s="14" t="str">
        <x:v>Software</x:v>
      </x:c>
      <x:c r="D7" s="27" t="n">
        <x:v>20</x:v>
      </x:c>
      <x:c r="E7" s="31" t="n">
        <x:v>581.92</x:v>
      </x:c>
      <x:c r="F7" s="35" t="n">
        <x:v>0.1</x:v>
      </x:c>
      <x:c r="G7" s="31" t="n">
        <x:f>D7*E7</x:f>
        <x:v>11638.4</x:v>
      </x:c>
      <x:c r="H7" s="31" t="n">
        <x:f>G7*(1-F7)</x:f>
        <x:v>10474.56</x:v>
      </x:c>
      <x:c r="I7" s="39" t="n">
        <x:v>46044</x:v>
      </x:c>
      <x:c r="J7" s="15" t="str">
        <x:v>In lavorazione</x:v>
      </x:c>
    </x:row>
    <x:row r="8">
      <x:c r="A8" s="13" t="str">
        <x:v>ORD-0007</x:v>
      </x:c>
      <x:c r="B8" s="14" t="str">
        <x:v>Andrea Ricci</x:v>
      </x:c>
      <x:c r="C8" s="14" t="str">
        <x:v>Servizi</x:v>
      </x:c>
      <x:c r="D8" s="27" t="n">
        <x:v>3</x:v>
      </x:c>
      <x:c r="E8" s="31" t="n">
        <x:v>795.54</x:v>
      </x:c>
      <x:c r="F8" s="35" t="n">
        <x:v>0.1</x:v>
      </x:c>
      <x:c r="G8" s="31" t="n">
        <x:f>D8*E8</x:f>
        <x:v>2386.62</x:v>
      </x:c>
      <x:c r="H8" s="31" t="n">
        <x:f>G8*(1-F8)</x:f>
        <x:v>2147.958</x:v>
      </x:c>
      <x:c r="I8" s="39" t="n">
        <x:v>46259</x:v>
      </x:c>
      <x:c r="J8" s="15" t="str">
        <x:v>In attesa</x:v>
      </x:c>
    </x:row>
    <x:row r="9">
      <x:c r="A9" s="13" t="str">
        <x:v>ORD-0008</x:v>
      </x:c>
      <x:c r="B9" s="14" t="str">
        <x:v>Matteo Romano</x:v>
      </x:c>
      <x:c r="C9" s="14" t="str">
        <x:v>Licenze</x:v>
      </x:c>
      <x:c r="D9" s="27" t="n">
        <x:v>17</x:v>
      </x:c>
      <x:c r="E9" s="31" t="n">
        <x:v>131.19</x:v>
      </x:c>
      <x:c r="F9" s="35" t="n">
        <x:v>0.05</x:v>
      </x:c>
      <x:c r="G9" s="31" t="n">
        <x:f>D9*E9</x:f>
        <x:v>2230.23</x:v>
      </x:c>
      <x:c r="H9" s="31" t="n">
        <x:f>G9*(1-F9)</x:f>
        <x:v>2118.7185</x:v>
      </x:c>
      <x:c r="I9" s="39" t="n">
        <x:v>46070</x:v>
      </x:c>
      <x:c r="J9" s="15" t="str">
        <x:v>In attesa</x:v>
      </x:c>
    </x:row>
    <x:row r="10">
      <x:c r="A10" s="13" t="str">
        <x:v>ORD-0009</x:v>
      </x:c>
      <x:c r="B10" s="14" t="str">
        <x:v>Matteo Rossi</x:v>
      </x:c>
      <x:c r="C10" s="14" t="str">
        <x:v>Licenze</x:v>
      </x:c>
      <x:c r="D10" s="27" t="n">
        <x:v>10</x:v>
      </x:c>
      <x:c r="E10" s="31" t="n">
        <x:v>501.64</x:v>
      </x:c>
      <x:c r="F10" s="35" t="n">
        <x:v>0.15</x:v>
      </x:c>
      <x:c r="G10" s="31" t="n">
        <x:f>D10*E10</x:f>
        <x:v>5016.4</x:v>
      </x:c>
      <x:c r="H10" s="31" t="n">
        <x:f>G10*(1-F10)</x:f>
        <x:v>4263.94</x:v>
      </x:c>
      <x:c r="I10" s="39" t="n">
        <x:v>46069</x:v>
      </x:c>
      <x:c r="J10" s="15" t="str">
        <x:v>Annullato</x:v>
      </x:c>
    </x:row>
    <x:row r="11">
      <x:c r="A11" s="13" t="str">
        <x:v>ORD-0010</x:v>
      </x:c>
      <x:c r="B11" s="14" t="str">
        <x:v>Chiara Conti</x:v>
      </x:c>
      <x:c r="C11" s="14" t="str">
        <x:v>Hardware</x:v>
      </x:c>
      <x:c r="D11" s="27" t="n">
        <x:v>11</x:v>
      </x:c>
      <x:c r="E11" s="31" t="n">
        <x:v>120.85</x:v>
      </x:c>
      <x:c r="F11" s="35" t="n">
        <x:v>0.2</x:v>
      </x:c>
      <x:c r="G11" s="31" t="n">
        <x:f>D11*E11</x:f>
        <x:v>1329.35</x:v>
      </x:c>
      <x:c r="H11" s="31" t="n">
        <x:f>G11*(1-F11)</x:f>
        <x:v>1063.48</x:v>
      </x:c>
      <x:c r="I11" s="39" t="n">
        <x:v>46159</x:v>
      </x:c>
      <x:c r="J11" s="15" t="str">
        <x:v>Completato</x:v>
      </x:c>
    </x:row>
    <x:row r="12">
      <x:c r="A12" s="13" t="str">
        <x:v>ORD-0011</x:v>
      </x:c>
      <x:c r="B12" s="14" t="str">
        <x:v>Marco Bianchi</x:v>
      </x:c>
      <x:c r="C12" s="14" t="str">
        <x:v>Licenze</x:v>
      </x:c>
      <x:c r="D12" s="27" t="n">
        <x:v>20</x:v>
      </x:c>
      <x:c r="E12" s="31" t="n">
        <x:v>35.06</x:v>
      </x:c>
      <x:c r="F12" s="35" t="n">
        <x:v>0.15</x:v>
      </x:c>
      <x:c r="G12" s="31" t="n">
        <x:f>D12*E12</x:f>
        <x:v>701.2</x:v>
      </x:c>
      <x:c r="H12" s="31" t="n">
        <x:f>G12*(1-F12)</x:f>
        <x:v>596.02</x:v>
      </x:c>
      <x:c r="I12" s="39" t="n">
        <x:v>46029</x:v>
      </x:c>
      <x:c r="J12" s="15" t="str">
        <x:v>Completato</x:v>
      </x:c>
    </x:row>
    <x:row r="13">
      <x:c r="A13" s="13" t="str">
        <x:v>ORD-0012</x:v>
      </x:c>
      <x:c r="B13" s="14" t="str">
        <x:v>Giulia Ferrari</x:v>
      </x:c>
      <x:c r="C13" s="14" t="str">
        <x:v>Licenze</x:v>
      </x:c>
      <x:c r="D13" s="27" t="n">
        <x:v>16</x:v>
      </x:c>
      <x:c r="E13" s="31" t="n">
        <x:v>404.91</x:v>
      </x:c>
      <x:c r="F13" s="35" t="n">
        <x:v>0.15</x:v>
      </x:c>
      <x:c r="G13" s="31" t="n">
        <x:f>D13*E13</x:f>
        <x:v>6478.56</x:v>
      </x:c>
      <x:c r="H13" s="31" t="n">
        <x:f>G13*(1-F13)</x:f>
        <x:v>5506.776</x:v>
      </x:c>
      <x:c r="I13" s="39" t="n">
        <x:v>46089</x:v>
      </x:c>
      <x:c r="J13" s="15" t="str">
        <x:v>Completato</x:v>
      </x:c>
    </x:row>
    <x:row r="14">
      <x:c r="A14" s="13" t="str">
        <x:v>ORD-0013</x:v>
      </x:c>
      <x:c r="B14" s="14" t="str">
        <x:v>Francesca Gallo</x:v>
      </x:c>
      <x:c r="C14" s="14" t="str">
        <x:v>Servizi</x:v>
      </x:c>
      <x:c r="D14" s="27" t="n">
        <x:v>19</x:v>
      </x:c>
      <x:c r="E14" s="31" t="n">
        <x:v>89.38</x:v>
      </x:c>
      <x:c r="F14" s="35" t="n">
        <x:v>0.05</x:v>
      </x:c>
      <x:c r="G14" s="31" t="n">
        <x:f>D14*E14</x:f>
        <x:v>1698.2199999999998</x:v>
      </x:c>
      <x:c r="H14" s="31" t="n">
        <x:f>G14*(1-F14)</x:f>
        <x:v>1613.3089999999997</x:v>
      </x:c>
      <x:c r="I14" s="39" t="n">
        <x:v>46052</x:v>
      </x:c>
      <x:c r="J14" s="15" t="str">
        <x:v>In attesa</x:v>
      </x:c>
    </x:row>
    <x:row r="15">
      <x:c r="A15" s="13" t="str">
        <x:v>ORD-0014</x:v>
      </x:c>
      <x:c r="B15" s="14" t="str">
        <x:v>Francesca Gallo</x:v>
      </x:c>
      <x:c r="C15" s="14" t="str">
        <x:v>Servizi</x:v>
      </x:c>
      <x:c r="D15" s="27" t="n">
        <x:v>3</x:v>
      </x:c>
      <x:c r="E15" s="31" t="n">
        <x:v>575.88</x:v>
      </x:c>
      <x:c r="F15" s="35" t="n">
        <x:v>0</x:v>
      </x:c>
      <x:c r="G15" s="31" t="n">
        <x:f>D15*E15</x:f>
        <x:v>1727.6399999999999</x:v>
      </x:c>
      <x:c r="H15" s="31" t="n">
        <x:f>G15*(1-F15)</x:f>
        <x:v>1727.6399999999999</x:v>
      </x:c>
      <x:c r="I15" s="39" t="n">
        <x:v>46116</x:v>
      </x:c>
      <x:c r="J15" s="15" t="str">
        <x:v>Completato</x:v>
      </x:c>
    </x:row>
    <x:row r="16">
      <x:c r="A16" s="13" t="str">
        <x:v>ORD-0015</x:v>
      </x:c>
      <x:c r="B16" s="14" t="str">
        <x:v>Elena Romano</x:v>
      </x:c>
      <x:c r="C16" s="14" t="str">
        <x:v>Hardware</x:v>
      </x:c>
      <x:c r="D16" s="27" t="n">
        <x:v>7</x:v>
      </x:c>
      <x:c r="E16" s="31" t="n">
        <x:v>552.27</x:v>
      </x:c>
      <x:c r="F16" s="35" t="n">
        <x:v>0.2</x:v>
      </x:c>
      <x:c r="G16" s="31" t="n">
        <x:f>D16*E16</x:f>
        <x:v>3865.89</x:v>
      </x:c>
      <x:c r="H16" s="31" t="n">
        <x:f>G16*(1-F16)</x:f>
        <x:v>3092.712</x:v>
      </x:c>
      <x:c r="I16" s="39" t="n">
        <x:v>46174</x:v>
      </x:c>
      <x:c r="J16" s="15" t="str">
        <x:v>In attesa</x:v>
      </x:c>
    </x:row>
    <x:row r="17">
      <x:c r="A17" s="13" t="str">
        <x:v>ORD-0016</x:v>
      </x:c>
      <x:c r="B17" s="14" t="str">
        <x:v>Andrea Ricci</x:v>
      </x:c>
      <x:c r="C17" s="14" t="str">
        <x:v>Servizi</x:v>
      </x:c>
      <x:c r="D17" s="27" t="n">
        <x:v>17</x:v>
      </x:c>
      <x:c r="E17" s="31" t="n">
        <x:v>427.99</x:v>
      </x:c>
      <x:c r="F17" s="35" t="n">
        <x:v>0.15</x:v>
      </x:c>
      <x:c r="G17" s="31" t="n">
        <x:f>D17*E17</x:f>
        <x:v>7275.83</x:v>
      </x:c>
      <x:c r="H17" s="31" t="n">
        <x:f>G17*(1-F17)</x:f>
        <x:v>6184.4555</x:v>
      </x:c>
      <x:c r="I17" s="39" t="n">
        <x:v>46192</x:v>
      </x:c>
      <x:c r="J17" s="15" t="str">
        <x:v>In attesa</x:v>
      </x:c>
    </x:row>
    <x:row r="18">
      <x:c r="A18" s="13" t="str">
        <x:v>ORD-0017</x:v>
      </x:c>
      <x:c r="B18" s="14" t="str">
        <x:v>Davide Ferrari</x:v>
      </x:c>
      <x:c r="C18" s="14" t="str">
        <x:v>Servizi</x:v>
      </x:c>
      <x:c r="D18" s="27" t="n">
        <x:v>13</x:v>
      </x:c>
      <x:c r="E18" s="31" t="n">
        <x:v>355.34</x:v>
      </x:c>
      <x:c r="F18" s="35" t="n">
        <x:v>0.2</x:v>
      </x:c>
      <x:c r="G18" s="31" t="n">
        <x:f>D18*E18</x:f>
        <x:v>4619.42</x:v>
      </x:c>
      <x:c r="H18" s="31" t="n">
        <x:f>G18*(1-F18)</x:f>
        <x:v>3695.536</x:v>
      </x:c>
      <x:c r="I18" s="39" t="n">
        <x:v>46115</x:v>
      </x:c>
      <x:c r="J18" s="15" t="str">
        <x:v>In lavorazione</x:v>
      </x:c>
    </x:row>
    <x:row r="19">
      <x:c r="A19" s="13" t="str">
        <x:v>ORD-0018</x:v>
      </x:c>
      <x:c r="B19" s="14" t="str">
        <x:v>Chiara Greco</x:v>
      </x:c>
      <x:c r="C19" s="14" t="str">
        <x:v>Accessori</x:v>
      </x:c>
      <x:c r="D19" s="27" t="n">
        <x:v>3</x:v>
      </x:c>
      <x:c r="E19" s="31" t="n">
        <x:v>802.26</x:v>
      </x:c>
      <x:c r="F19" s="35" t="n">
        <x:v>0</x:v>
      </x:c>
      <x:c r="G19" s="31" t="n">
        <x:f>D19*E19</x:f>
        <x:v>2406.7799999999997</x:v>
      </x:c>
      <x:c r="H19" s="31" t="n">
        <x:f>G19*(1-F19)</x:f>
        <x:v>2406.7799999999997</x:v>
      </x:c>
      <x:c r="I19" s="39" t="n">
        <x:v>46146</x:v>
      </x:c>
      <x:c r="J19" s="15" t="str">
        <x:v>Annullato</x:v>
      </x:c>
    </x:row>
    <x:row r="20">
      <x:c r="A20" s="13" t="str">
        <x:v>ORD-0019</x:v>
      </x:c>
      <x:c r="B20" s="14" t="str">
        <x:v>Luca Greco</x:v>
      </x:c>
      <x:c r="C20" s="14" t="str">
        <x:v>Accessori</x:v>
      </x:c>
      <x:c r="D20" s="27" t="n">
        <x:v>3</x:v>
      </x:c>
      <x:c r="E20" s="31" t="n">
        <x:v>581.77</x:v>
      </x:c>
      <x:c r="F20" s="35" t="n">
        <x:v>0.1</x:v>
      </x:c>
      <x:c r="G20" s="31" t="n">
        <x:f>D20*E20</x:f>
        <x:v>1745.31</x:v>
      </x:c>
      <x:c r="H20" s="31" t="n">
        <x:f>G20*(1-F20)</x:f>
        <x:v>1570.779</x:v>
      </x:c>
      <x:c r="I20" s="39" t="n">
        <x:v>46101</x:v>
      </x:c>
      <x:c r="J20" s="15" t="str">
        <x:v>Completato</x:v>
      </x:c>
    </x:row>
    <x:row r="21">
      <x:c r="A21" s="13" t="str">
        <x:v>ORD-0020</x:v>
      </x:c>
      <x:c r="B21" s="14" t="str">
        <x:v>Andrea Romano</x:v>
      </x:c>
      <x:c r="C21" s="14" t="str">
        <x:v>Servizi</x:v>
      </x:c>
      <x:c r="D21" s="27" t="n">
        <x:v>17</x:v>
      </x:c>
      <x:c r="E21" s="31" t="n">
        <x:v>606.44</x:v>
      </x:c>
      <x:c r="F21" s="35" t="n">
        <x:v>0</x:v>
      </x:c>
      <x:c r="G21" s="31" t="n">
        <x:f>D21*E21</x:f>
        <x:v>10309.480000000001</x:v>
      </x:c>
      <x:c r="H21" s="31" t="n">
        <x:f>G21*(1-F21)</x:f>
        <x:v>10309.480000000001</x:v>
      </x:c>
      <x:c r="I21" s="39" t="n">
        <x:v>46047</x:v>
      </x:c>
      <x:c r="J21" s="15" t="str">
        <x:v>Completato</x:v>
      </x:c>
    </x:row>
    <x:row r="22">
      <x:c r="A22" s="13" t="str">
        <x:v>ORD-0021</x:v>
      </x:c>
      <x:c r="B22" s="14" t="str">
        <x:v>Francesca Rossi</x:v>
      </x:c>
      <x:c r="C22" s="14" t="str">
        <x:v>Accessori</x:v>
      </x:c>
      <x:c r="D22" s="27" t="n">
        <x:v>5</x:v>
      </x:c>
      <x:c r="E22" s="31" t="n">
        <x:v>789.99</x:v>
      </x:c>
      <x:c r="F22" s="35" t="n">
        <x:v>0.15</x:v>
      </x:c>
      <x:c r="G22" s="31" t="n">
        <x:f>D22*E22</x:f>
        <x:v>3949.95</x:v>
      </x:c>
      <x:c r="H22" s="31" t="n">
        <x:f>G22*(1-F22)</x:f>
        <x:v>3357.4575</x:v>
      </x:c>
      <x:c r="I22" s="39" t="n">
        <x:v>46238</x:v>
      </x:c>
      <x:c r="J22" s="15" t="str">
        <x:v>In attesa</x:v>
      </x:c>
    </x:row>
    <x:row r="23">
      <x:c r="A23" s="13" t="str">
        <x:v>ORD-0022</x:v>
      </x:c>
      <x:c r="B23" s="14" t="str">
        <x:v>Giulia Conti</x:v>
      </x:c>
      <x:c r="C23" s="14" t="str">
        <x:v>Software</x:v>
      </x:c>
      <x:c r="D23" s="27" t="n">
        <x:v>14</x:v>
      </x:c>
      <x:c r="E23" s="31" t="n">
        <x:v>561.83</x:v>
      </x:c>
      <x:c r="F23" s="35" t="n">
        <x:v>0.1</x:v>
      </x:c>
      <x:c r="G23" s="31" t="n">
        <x:f>D23*E23</x:f>
        <x:v>7865.620000000001</x:v>
      </x:c>
      <x:c r="H23" s="31" t="n">
        <x:f>G23*(1-F23)</x:f>
        <x:v>7079.058000000001</x:v>
      </x:c>
      <x:c r="I23" s="39" t="n">
        <x:v>46211</x:v>
      </x:c>
      <x:c r="J23" s="15" t="str">
        <x:v>In lavorazione</x:v>
      </x:c>
    </x:row>
    <x:row r="24">
      <x:c r="A24" s="13" t="str">
        <x:v>ORD-0023</x:v>
      </x:c>
      <x:c r="B24" s="14" t="str">
        <x:v>Francesca Greco</x:v>
      </x:c>
      <x:c r="C24" s="14" t="str">
        <x:v>Licenze</x:v>
      </x:c>
      <x:c r="D24" s="27" t="n">
        <x:v>9</x:v>
      </x:c>
      <x:c r="E24" s="31" t="n">
        <x:v>332.75</x:v>
      </x:c>
      <x:c r="F24" s="35" t="n">
        <x:v>0.05</x:v>
      </x:c>
      <x:c r="G24" s="31" t="n">
        <x:f>D24*E24</x:f>
        <x:v>2994.75</x:v>
      </x:c>
      <x:c r="H24" s="31" t="n">
        <x:f>G24*(1-F24)</x:f>
        <x:v>2845.0125</x:v>
      </x:c>
      <x:c r="I24" s="39" t="n">
        <x:v>46207</x:v>
      </x:c>
      <x:c r="J24" s="15" t="str">
        <x:v>In attesa</x:v>
      </x:c>
    </x:row>
    <x:row r="25">
      <x:c r="A25" s="13" t="str">
        <x:v>ORD-0024</x:v>
      </x:c>
      <x:c r="B25" s="14" t="str">
        <x:v>Davide Esposito</x:v>
      </x:c>
      <x:c r="C25" s="14" t="str">
        <x:v>Servizi</x:v>
      </x:c>
      <x:c r="D25" s="27" t="n">
        <x:v>3</x:v>
      </x:c>
      <x:c r="E25" s="31" t="n">
        <x:v>609.59</x:v>
      </x:c>
      <x:c r="F25" s="35" t="n">
        <x:v>0.05</x:v>
      </x:c>
      <x:c r="G25" s="31" t="n">
        <x:f>D25*E25</x:f>
        <x:v>1828.77</x:v>
      </x:c>
      <x:c r="H25" s="31" t="n">
        <x:f>G25*(1-F25)</x:f>
        <x:v>1737.3315</x:v>
      </x:c>
      <x:c r="I25" s="39" t="n">
        <x:v>46106</x:v>
      </x:c>
      <x:c r="J25" s="15" t="str">
        <x:v>Completato</x:v>
      </x:c>
    </x:row>
    <x:row r="26">
      <x:c r="A26" s="13" t="str">
        <x:v>ORD-0025</x:v>
      </x:c>
      <x:c r="B26" s="14" t="str">
        <x:v>Sara Bianchi</x:v>
      </x:c>
      <x:c r="C26" s="14" t="str">
        <x:v>Software</x:v>
      </x:c>
      <x:c r="D26" s="27" t="n">
        <x:v>17</x:v>
      </x:c>
      <x:c r="E26" s="31" t="n">
        <x:v>677.35</x:v>
      </x:c>
      <x:c r="F26" s="35" t="n">
        <x:v>0.15</x:v>
      </x:c>
      <x:c r="G26" s="31" t="n">
        <x:f>D26*E26</x:f>
        <x:v>11514.95</x:v>
      </x:c>
      <x:c r="H26" s="31" t="n">
        <x:f>G26*(1-F26)</x:f>
        <x:v>9787.7075</x:v>
      </x:c>
      <x:c r="I26" s="39" t="n">
        <x:v>46207</x:v>
      </x:c>
      <x:c r="J26" s="15" t="str">
        <x:v>In lavorazione</x:v>
      </x:c>
    </x:row>
    <x:row r="27">
      <x:c r="A27" s="13" t="str">
        <x:v>ORD-0026</x:v>
      </x:c>
      <x:c r="B27" s="14" t="str">
        <x:v>Giulia Gallo</x:v>
      </x:c>
      <x:c r="C27" s="14" t="str">
        <x:v>Software</x:v>
      </x:c>
      <x:c r="D27" s="27" t="n">
        <x:v>9</x:v>
      </x:c>
      <x:c r="E27" s="31" t="n">
        <x:v>222.69</x:v>
      </x:c>
      <x:c r="F27" s="35" t="n">
        <x:v>0.1</x:v>
      </x:c>
      <x:c r="G27" s="31" t="n">
        <x:f>D27*E27</x:f>
        <x:v>2004.21</x:v>
      </x:c>
      <x:c r="H27" s="31" t="n">
        <x:f>G27*(1-F27)</x:f>
        <x:v>1803.789</x:v>
      </x:c>
      <x:c r="I27" s="39" t="n">
        <x:v>46242</x:v>
      </x:c>
      <x:c r="J27" s="15" t="str">
        <x:v>In attesa</x:v>
      </x:c>
    </x:row>
    <x:row r="28">
      <x:c r="A28" s="13" t="str">
        <x:v>ORD-0027</x:v>
      </x:c>
      <x:c r="B28" s="14" t="str">
        <x:v>Sara Ferrari</x:v>
      </x:c>
      <x:c r="C28" s="14" t="str">
        <x:v>Licenze</x:v>
      </x:c>
      <x:c r="D28" s="27" t="n">
        <x:v>12</x:v>
      </x:c>
      <x:c r="E28" s="31" t="n">
        <x:v>356.58</x:v>
      </x:c>
      <x:c r="F28" s="35" t="n">
        <x:v>0.05</x:v>
      </x:c>
      <x:c r="G28" s="31" t="n">
        <x:f>D28*E28</x:f>
        <x:v>4278.96</x:v>
      </x:c>
      <x:c r="H28" s="31" t="n">
        <x:f>G28*(1-F28)</x:f>
        <x:v>4065.0119999999997</x:v>
      </x:c>
      <x:c r="I28" s="39" t="n">
        <x:v>46229</x:v>
      </x:c>
      <x:c r="J28" s="15" t="str">
        <x:v>In attesa</x:v>
      </x:c>
    </x:row>
    <x:row r="29">
      <x:c r="A29" s="13" t="str">
        <x:v>ORD-0028</x:v>
      </x:c>
      <x:c r="B29" s="14" t="str">
        <x:v>Davide Bianchi</x:v>
      </x:c>
      <x:c r="C29" s="14" t="str">
        <x:v>Servizi</x:v>
      </x:c>
      <x:c r="D29" s="27" t="n">
        <x:v>19</x:v>
      </x:c>
      <x:c r="E29" s="31" t="n">
        <x:v>393.01</x:v>
      </x:c>
      <x:c r="F29" s="35" t="n">
        <x:v>0</x:v>
      </x:c>
      <x:c r="G29" s="31" t="n">
        <x:f>D29*E29</x:f>
        <x:v>7467.19</x:v>
      </x:c>
      <x:c r="H29" s="31" t="n">
        <x:f>G29*(1-F29)</x:f>
        <x:v>7467.19</x:v>
      </x:c>
      <x:c r="I29" s="39" t="n">
        <x:v>46166</x:v>
      </x:c>
      <x:c r="J29" s="15" t="str">
        <x:v>Annullato</x:v>
      </x:c>
    </x:row>
    <x:row r="30">
      <x:c r="A30" s="13" t="str">
        <x:v>ORD-0029</x:v>
      </x:c>
      <x:c r="B30" s="14" t="str">
        <x:v>Giulia Ferrari</x:v>
      </x:c>
      <x:c r="C30" s="14" t="str">
        <x:v>Hardware</x:v>
      </x:c>
      <x:c r="D30" s="27" t="n">
        <x:v>2</x:v>
      </x:c>
      <x:c r="E30" s="31" t="n">
        <x:v>20.44</x:v>
      </x:c>
      <x:c r="F30" s="35" t="n">
        <x:v>0.2</x:v>
      </x:c>
      <x:c r="G30" s="31" t="n">
        <x:f>D30*E30</x:f>
        <x:v>40.88</x:v>
      </x:c>
      <x:c r="H30" s="31" t="n">
        <x:f>G30*(1-F30)</x:f>
        <x:v>32.704</x:v>
      </x:c>
      <x:c r="I30" s="39" t="n">
        <x:v>46114</x:v>
      </x:c>
      <x:c r="J30" s="15" t="str">
        <x:v>Annullato</x:v>
      </x:c>
    </x:row>
    <x:row r="31">
      <x:c r="A31" s="13" t="str">
        <x:v>ORD-0030</x:v>
      </x:c>
      <x:c r="B31" s="14" t="str">
        <x:v>Sara Marino</x:v>
      </x:c>
      <x:c r="C31" s="14" t="str">
        <x:v>Hardware</x:v>
      </x:c>
      <x:c r="D31" s="27" t="n">
        <x:v>9</x:v>
      </x:c>
      <x:c r="E31" s="31" t="n">
        <x:v>113.67</x:v>
      </x:c>
      <x:c r="F31" s="35" t="n">
        <x:v>0</x:v>
      </x:c>
      <x:c r="G31" s="31" t="n">
        <x:f>D31*E31</x:f>
        <x:v>1023.03</x:v>
      </x:c>
      <x:c r="H31" s="31" t="n">
        <x:f>G31*(1-F31)</x:f>
        <x:v>1023.03</x:v>
      </x:c>
      <x:c r="I31" s="39" t="n">
        <x:v>46144</x:v>
      </x:c>
      <x:c r="J31" s="15" t="str">
        <x:v>In lavorazione</x:v>
      </x:c>
    </x:row>
    <x:row r="32">
      <x:c r="A32" s="13" t="str">
        <x:v>ORD-0031</x:v>
      </x:c>
      <x:c r="B32" s="14" t="str">
        <x:v>Elena Ferrari</x:v>
      </x:c>
      <x:c r="C32" s="14" t="str">
        <x:v>Accessori</x:v>
      </x:c>
      <x:c r="D32" s="27" t="n">
        <x:v>9</x:v>
      </x:c>
      <x:c r="E32" s="31" t="n">
        <x:v>780.77</x:v>
      </x:c>
      <x:c r="F32" s="35" t="n">
        <x:v>0</x:v>
      </x:c>
      <x:c r="G32" s="31" t="n">
        <x:f>D32*E32</x:f>
        <x:v>7026.93</x:v>
      </x:c>
      <x:c r="H32" s="31" t="n">
        <x:f>G32*(1-F32)</x:f>
        <x:v>7026.93</x:v>
      </x:c>
      <x:c r="I32" s="39" t="n">
        <x:v>46031</x:v>
      </x:c>
      <x:c r="J32" s="15" t="str">
        <x:v>Annullato</x:v>
      </x:c>
    </x:row>
    <x:row r="33">
      <x:c r="A33" s="13" t="str">
        <x:v>ORD-0032</x:v>
      </x:c>
      <x:c r="B33" s="14" t="str">
        <x:v>Luca Romano</x:v>
      </x:c>
      <x:c r="C33" s="14" t="str">
        <x:v>Software</x:v>
      </x:c>
      <x:c r="D33" s="27" t="n">
        <x:v>15</x:v>
      </x:c>
      <x:c r="E33" s="31" t="n">
        <x:v>294.51</x:v>
      </x:c>
      <x:c r="F33" s="35" t="n">
        <x:v>0.2</x:v>
      </x:c>
      <x:c r="G33" s="31" t="n">
        <x:f>D33*E33</x:f>
        <x:v>4417.65</x:v>
      </x:c>
      <x:c r="H33" s="31" t="n">
        <x:f>G33*(1-F33)</x:f>
        <x:v>3534.12</x:v>
      </x:c>
      <x:c r="I33" s="39" t="n">
        <x:v>46083</x:v>
      </x:c>
      <x:c r="J33" s="15" t="str">
        <x:v>Completato</x:v>
      </x:c>
    </x:row>
    <x:row r="34">
      <x:c r="A34" s="13" t="str">
        <x:v>ORD-0033</x:v>
      </x:c>
      <x:c r="B34" s="14" t="str">
        <x:v>Marco Marino</x:v>
      </x:c>
      <x:c r="C34" s="14" t="str">
        <x:v>Licenze</x:v>
      </x:c>
      <x:c r="D34" s="27" t="n">
        <x:v>14</x:v>
      </x:c>
      <x:c r="E34" s="31" t="n">
        <x:v>436.29</x:v>
      </x:c>
      <x:c r="F34" s="35" t="n">
        <x:v>0.2</x:v>
      </x:c>
      <x:c r="G34" s="31" t="n">
        <x:f>D34*E34</x:f>
        <x:v>6108.06</x:v>
      </x:c>
      <x:c r="H34" s="31" t="n">
        <x:f>G34*(1-F34)</x:f>
        <x:v>4886.448</x:v>
      </x:c>
      <x:c r="I34" s="39" t="n">
        <x:v>46115</x:v>
      </x:c>
      <x:c r="J34" s="15" t="str">
        <x:v>Completato</x:v>
      </x:c>
    </x:row>
    <x:row r="35">
      <x:c r="A35" s="13" t="str">
        <x:v>ORD-0034</x:v>
      </x:c>
      <x:c r="B35" s="14" t="str">
        <x:v>Francesca Greco</x:v>
      </x:c>
      <x:c r="C35" s="14" t="str">
        <x:v>Software</x:v>
      </x:c>
      <x:c r="D35" s="27" t="n">
        <x:v>4</x:v>
      </x:c>
      <x:c r="E35" s="31" t="n">
        <x:v>911.99</x:v>
      </x:c>
      <x:c r="F35" s="35" t="n">
        <x:v>0.05</x:v>
      </x:c>
      <x:c r="G35" s="31" t="n">
        <x:f>D35*E35</x:f>
        <x:v>3647.96</x:v>
      </x:c>
      <x:c r="H35" s="31" t="n">
        <x:f>G35*(1-F35)</x:f>
        <x:v>3465.562</x:v>
      </x:c>
      <x:c r="I35" s="39" t="n">
        <x:v>46092</x:v>
      </x:c>
      <x:c r="J35" s="15" t="str">
        <x:v>In attesa</x:v>
      </x:c>
    </x:row>
    <x:row r="36">
      <x:c r="A36" s="13" t="str">
        <x:v>ORD-0035</x:v>
      </x:c>
      <x:c r="B36" s="14" t="str">
        <x:v>Elena Romano</x:v>
      </x:c>
      <x:c r="C36" s="14" t="str">
        <x:v>Hardware</x:v>
      </x:c>
      <x:c r="D36" s="27" t="n">
        <x:v>2</x:v>
      </x:c>
      <x:c r="E36" s="31" t="n">
        <x:v>371.63</x:v>
      </x:c>
      <x:c r="F36" s="35" t="n">
        <x:v>0.05</x:v>
      </x:c>
      <x:c r="G36" s="31" t="n">
        <x:f>D36*E36</x:f>
        <x:v>743.26</x:v>
      </x:c>
      <x:c r="H36" s="31" t="n">
        <x:f>G36*(1-F36)</x:f>
        <x:v>706.097</x:v>
      </x:c>
      <x:c r="I36" s="39" t="n">
        <x:v>46099</x:v>
      </x:c>
      <x:c r="J36" s="15" t="str">
        <x:v>In attesa</x:v>
      </x:c>
    </x:row>
    <x:row r="37">
      <x:c r="A37" s="13" t="str">
        <x:v>ORD-0036</x:v>
      </x:c>
      <x:c r="B37" s="14" t="str">
        <x:v>Chiara Romano</x:v>
      </x:c>
      <x:c r="C37" s="14" t="str">
        <x:v>Hardware</x:v>
      </x:c>
      <x:c r="D37" s="27" t="n">
        <x:v>10</x:v>
      </x:c>
      <x:c r="E37" s="31" t="n">
        <x:v>870.85</x:v>
      </x:c>
      <x:c r="F37" s="35" t="n">
        <x:v>0.1</x:v>
      </x:c>
      <x:c r="G37" s="31" t="n">
        <x:f>D37*E37</x:f>
        <x:v>8708.5</x:v>
      </x:c>
      <x:c r="H37" s="31" t="n">
        <x:f>G37*(1-F37)</x:f>
        <x:v>7837.650000000001</x:v>
      </x:c>
      <x:c r="I37" s="39" t="n">
        <x:v>46084</x:v>
      </x:c>
      <x:c r="J37" s="15" t="str">
        <x:v>In lavorazione</x:v>
      </x:c>
    </x:row>
    <x:row r="38">
      <x:c r="A38" s="13" t="str">
        <x:v>ORD-0037</x:v>
      </x:c>
      <x:c r="B38" s="14" t="str">
        <x:v>Davide Bianchi</x:v>
      </x:c>
      <x:c r="C38" s="14" t="str">
        <x:v>Software</x:v>
      </x:c>
      <x:c r="D38" s="27" t="n">
        <x:v>16</x:v>
      </x:c>
      <x:c r="E38" s="31" t="n">
        <x:v>866.5</x:v>
      </x:c>
      <x:c r="F38" s="35" t="n">
        <x:v>0</x:v>
      </x:c>
      <x:c r="G38" s="31" t="n">
        <x:f>D38*E38</x:f>
        <x:v>13864</x:v>
      </x:c>
      <x:c r="H38" s="31" t="n">
        <x:f>G38*(1-F38)</x:f>
        <x:v>13864</x:v>
      </x:c>
      <x:c r="I38" s="39" t="n">
        <x:v>46176</x:v>
      </x:c>
      <x:c r="J38" s="15" t="str">
        <x:v>Completato</x:v>
      </x:c>
    </x:row>
    <x:row r="39">
      <x:c r="A39" s="13" t="str">
        <x:v>ORD-0038</x:v>
      </x:c>
      <x:c r="B39" s="14" t="str">
        <x:v>Giulia Romano</x:v>
      </x:c>
      <x:c r="C39" s="14" t="str">
        <x:v>Licenze</x:v>
      </x:c>
      <x:c r="D39" s="27" t="n">
        <x:v>14</x:v>
      </x:c>
      <x:c r="E39" s="31" t="n">
        <x:v>175.35</x:v>
      </x:c>
      <x:c r="F39" s="35" t="n">
        <x:v>0.1</x:v>
      </x:c>
      <x:c r="G39" s="31" t="n">
        <x:f>D39*E39</x:f>
        <x:v>2454.9</x:v>
      </x:c>
      <x:c r="H39" s="31" t="n">
        <x:f>G39*(1-F39)</x:f>
        <x:v>2209.4100000000003</x:v>
      </x:c>
      <x:c r="I39" s="39" t="n">
        <x:v>46133</x:v>
      </x:c>
      <x:c r="J39" s="15" t="str">
        <x:v>In attesa</x:v>
      </x:c>
    </x:row>
    <x:row r="40">
      <x:c r="A40" s="13" t="str">
        <x:v>ORD-0039</x:v>
      </x:c>
      <x:c r="B40" s="14" t="str">
        <x:v>Sara Rossi</x:v>
      </x:c>
      <x:c r="C40" s="14" t="str">
        <x:v>Hardware</x:v>
      </x:c>
      <x:c r="D40" s="27" t="n">
        <x:v>5</x:v>
      </x:c>
      <x:c r="E40" s="31" t="n">
        <x:v>608.18</x:v>
      </x:c>
      <x:c r="F40" s="35" t="n">
        <x:v>0.2</x:v>
      </x:c>
      <x:c r="G40" s="31" t="n">
        <x:f>D40*E40</x:f>
        <x:v>3040.8999999999996</x:v>
      </x:c>
      <x:c r="H40" s="31" t="n">
        <x:f>G40*(1-F40)</x:f>
        <x:v>2432.72</x:v>
      </x:c>
      <x:c r="I40" s="39" t="n">
        <x:v>46243</x:v>
      </x:c>
      <x:c r="J40" s="15" t="str">
        <x:v>Completato</x:v>
      </x:c>
    </x:row>
    <x:row r="41">
      <x:c r="A41" s="13" t="str">
        <x:v>ORD-0040</x:v>
      </x:c>
      <x:c r="B41" s="14" t="str">
        <x:v>Elena Rossi</x:v>
      </x:c>
      <x:c r="C41" s="14" t="str">
        <x:v>Software</x:v>
      </x:c>
      <x:c r="D41" s="27" t="n">
        <x:v>9</x:v>
      </x:c>
      <x:c r="E41" s="31" t="n">
        <x:v>674.99</x:v>
      </x:c>
      <x:c r="F41" s="35" t="n">
        <x:v>0.1</x:v>
      </x:c>
      <x:c r="G41" s="31" t="n">
        <x:f>D41*E41</x:f>
        <x:v>6074.91</x:v>
      </x:c>
      <x:c r="H41" s="31" t="n">
        <x:f>G41*(1-F41)</x:f>
        <x:v>5467.419</x:v>
      </x:c>
      <x:c r="I41" s="39" t="n">
        <x:v>46060</x:v>
      </x:c>
      <x:c r="J41" s="15" t="str">
        <x:v>In attesa</x:v>
      </x:c>
    </x:row>
    <x:row r="42">
      <x:c r="A42" s="13" t="str">
        <x:v>ORD-0041</x:v>
      </x:c>
      <x:c r="B42" s="14" t="str">
        <x:v>Giulia Gallo</x:v>
      </x:c>
      <x:c r="C42" s="14" t="str">
        <x:v>Servizi</x:v>
      </x:c>
      <x:c r="D42" s="27" t="n">
        <x:v>2</x:v>
      </x:c>
      <x:c r="E42" s="31" t="n">
        <x:v>356.78</x:v>
      </x:c>
      <x:c r="F42" s="35" t="n">
        <x:v>0.05</x:v>
      </x:c>
      <x:c r="G42" s="31" t="n">
        <x:f>D42*E42</x:f>
        <x:v>713.56</x:v>
      </x:c>
      <x:c r="H42" s="31" t="n">
        <x:f>G42*(1-F42)</x:f>
        <x:v>677.882</x:v>
      </x:c>
      <x:c r="I42" s="39" t="n">
        <x:v>46153</x:v>
      </x:c>
      <x:c r="J42" s="15" t="str">
        <x:v>In attesa</x:v>
      </x:c>
    </x:row>
    <x:row r="43">
      <x:c r="A43" s="13" t="str">
        <x:v>ORD-0042</x:v>
      </x:c>
      <x:c r="B43" s="14" t="str">
        <x:v>Sara Ferrari</x:v>
      </x:c>
      <x:c r="C43" s="14" t="str">
        <x:v>Servizi</x:v>
      </x:c>
      <x:c r="D43" s="27" t="n">
        <x:v>20</x:v>
      </x:c>
      <x:c r="E43" s="31" t="n">
        <x:v>856.43</x:v>
      </x:c>
      <x:c r="F43" s="35" t="n">
        <x:v>0.05</x:v>
      </x:c>
      <x:c r="G43" s="31" t="n">
        <x:f>D43*E43</x:f>
        <x:v>17128.6</x:v>
      </x:c>
      <x:c r="H43" s="31" t="n">
        <x:f>G43*(1-F43)</x:f>
        <x:v>16272.169999999998</x:v>
      </x:c>
      <x:c r="I43" s="39" t="n">
        <x:v>46100</x:v>
      </x:c>
      <x:c r="J43" s="15" t="str">
        <x:v>Annullato</x:v>
      </x:c>
    </x:row>
    <x:row r="44">
      <x:c r="A44" s="13" t="str">
        <x:v>ORD-0043</x:v>
      </x:c>
      <x:c r="B44" s="14" t="str">
        <x:v>Chiara Greco</x:v>
      </x:c>
      <x:c r="C44" s="14" t="str">
        <x:v>Hardware</x:v>
      </x:c>
      <x:c r="D44" s="27" t="n">
        <x:v>20</x:v>
      </x:c>
      <x:c r="E44" s="31" t="n">
        <x:v>621.14</x:v>
      </x:c>
      <x:c r="F44" s="35" t="n">
        <x:v>0.2</x:v>
      </x:c>
      <x:c r="G44" s="31" t="n">
        <x:f>D44*E44</x:f>
        <x:v>12422.8</x:v>
      </x:c>
      <x:c r="H44" s="31" t="n">
        <x:f>G44*(1-F44)</x:f>
        <x:v>9938.24</x:v>
      </x:c>
      <x:c r="I44" s="39" t="n">
        <x:v>46066</x:v>
      </x:c>
      <x:c r="J44" s="15" t="str">
        <x:v>In attesa</x:v>
      </x:c>
    </x:row>
    <x:row r="45">
      <x:c r="A45" s="13" t="str">
        <x:v>ORD-0044</x:v>
      </x:c>
      <x:c r="B45" s="14" t="str">
        <x:v>Chiara Ricci</x:v>
      </x:c>
      <x:c r="C45" s="14" t="str">
        <x:v>Accessori</x:v>
      </x:c>
      <x:c r="D45" s="27" t="n">
        <x:v>13</x:v>
      </x:c>
      <x:c r="E45" s="31" t="n">
        <x:v>880.37</x:v>
      </x:c>
      <x:c r="F45" s="35" t="n">
        <x:v>0</x:v>
      </x:c>
      <x:c r="G45" s="31" t="n">
        <x:f>D45*E45</x:f>
        <x:v>11444.81</x:v>
      </x:c>
      <x:c r="H45" s="31" t="n">
        <x:f>G45*(1-F45)</x:f>
        <x:v>11444.81</x:v>
      </x:c>
      <x:c r="I45" s="39" t="n">
        <x:v>46066</x:v>
      </x:c>
      <x:c r="J45" s="15" t="str">
        <x:v>In attesa</x:v>
      </x:c>
    </x:row>
    <x:row r="46">
      <x:c r="A46" s="13" t="str">
        <x:v>ORD-0045</x:v>
      </x:c>
      <x:c r="B46" s="14" t="str">
        <x:v>Matteo Gallo</x:v>
      </x:c>
      <x:c r="C46" s="14" t="str">
        <x:v>Accessori</x:v>
      </x:c>
      <x:c r="D46" s="27" t="n">
        <x:v>11</x:v>
      </x:c>
      <x:c r="E46" s="31" t="n">
        <x:v>325.82</x:v>
      </x:c>
      <x:c r="F46" s="35" t="n">
        <x:v>0.15</x:v>
      </x:c>
      <x:c r="G46" s="31" t="n">
        <x:f>D46*E46</x:f>
        <x:v>3584.02</x:v>
      </x:c>
      <x:c r="H46" s="31" t="n">
        <x:f>G46*(1-F46)</x:f>
        <x:v>3046.417</x:v>
      </x:c>
      <x:c r="I46" s="39" t="n">
        <x:v>46226</x:v>
      </x:c>
      <x:c r="J46" s="15" t="str">
        <x:v>In lavorazione</x:v>
      </x:c>
    </x:row>
    <x:row r="47">
      <x:c r="A47" s="13" t="str">
        <x:v>ORD-0046</x:v>
      </x:c>
      <x:c r="B47" s="14" t="str">
        <x:v>Andrea Bianchi</x:v>
      </x:c>
      <x:c r="C47" s="14" t="str">
        <x:v>Accessori</x:v>
      </x:c>
      <x:c r="D47" s="27" t="n">
        <x:v>7</x:v>
      </x:c>
      <x:c r="E47" s="31" t="n">
        <x:v>540.69</x:v>
      </x:c>
      <x:c r="F47" s="35" t="n">
        <x:v>0.1</x:v>
      </x:c>
      <x:c r="G47" s="31" t="n">
        <x:f>D47*E47</x:f>
        <x:v>3784.8300000000004</x:v>
      </x:c>
      <x:c r="H47" s="31" t="n">
        <x:f>G47*(1-F47)</x:f>
        <x:v>3406.347</x:v>
      </x:c>
      <x:c r="I47" s="39" t="n">
        <x:v>46109</x:v>
      </x:c>
      <x:c r="J47" s="15" t="str">
        <x:v>Annullato</x:v>
      </x:c>
    </x:row>
    <x:row r="48">
      <x:c r="A48" s="13" t="str">
        <x:v>ORD-0047</x:v>
      </x:c>
      <x:c r="B48" s="14" t="str">
        <x:v>Andrea Marino</x:v>
      </x:c>
      <x:c r="C48" s="14" t="str">
        <x:v>Servizi</x:v>
      </x:c>
      <x:c r="D48" s="27" t="n">
        <x:v>13</x:v>
      </x:c>
      <x:c r="E48" s="31" t="n">
        <x:v>175.89</x:v>
      </x:c>
      <x:c r="F48" s="35" t="n">
        <x:v>0</x:v>
      </x:c>
      <x:c r="G48" s="31" t="n">
        <x:f>D48*E48</x:f>
        <x:v>2286.5699999999997</x:v>
      </x:c>
      <x:c r="H48" s="31" t="n">
        <x:f>G48*(1-F48)</x:f>
        <x:v>2286.5699999999997</x:v>
      </x:c>
      <x:c r="I48" s="39" t="n">
        <x:v>46110</x:v>
      </x:c>
      <x:c r="J48" s="15" t="str">
        <x:v>In lavorazione</x:v>
      </x:c>
    </x:row>
    <x:row r="49">
      <x:c r="A49" s="13" t="str">
        <x:v>ORD-0048</x:v>
      </x:c>
      <x:c r="B49" s="14" t="str">
        <x:v>Luca Romano</x:v>
      </x:c>
      <x:c r="C49" s="14" t="str">
        <x:v>Servizi</x:v>
      </x:c>
      <x:c r="D49" s="27" t="n">
        <x:v>2</x:v>
      </x:c>
      <x:c r="E49" s="31" t="n">
        <x:v>816.09</x:v>
      </x:c>
      <x:c r="F49" s="35" t="n">
        <x:v>0.05</x:v>
      </x:c>
      <x:c r="G49" s="31" t="n">
        <x:f>D49*E49</x:f>
        <x:v>1632.18</x:v>
      </x:c>
      <x:c r="H49" s="31" t="n">
        <x:f>G49*(1-F49)</x:f>
        <x:v>1550.571</x:v>
      </x:c>
      <x:c r="I49" s="39" t="n">
        <x:v>46184</x:v>
      </x:c>
      <x:c r="J49" s="15" t="str">
        <x:v>In lavorazione</x:v>
      </x:c>
    </x:row>
    <x:row r="50">
      <x:c r="A50" s="13" t="str">
        <x:v>ORD-0049</x:v>
      </x:c>
      <x:c r="B50" s="14" t="str">
        <x:v>Chiara Greco</x:v>
      </x:c>
      <x:c r="C50" s="14" t="str">
        <x:v>Licenze</x:v>
      </x:c>
      <x:c r="D50" s="27" t="n">
        <x:v>17</x:v>
      </x:c>
      <x:c r="E50" s="31" t="n">
        <x:v>450.27</x:v>
      </x:c>
      <x:c r="F50" s="35" t="n">
        <x:v>0</x:v>
      </x:c>
      <x:c r="G50" s="31" t="n">
        <x:f>D50*E50</x:f>
        <x:v>7654.59</x:v>
      </x:c>
      <x:c r="H50" s="31" t="n">
        <x:f>G50*(1-F50)</x:f>
        <x:v>7654.59</x:v>
      </x:c>
      <x:c r="I50" s="39" t="n">
        <x:v>46083</x:v>
      </x:c>
      <x:c r="J50" s="15" t="str">
        <x:v>Completato</x:v>
      </x:c>
    </x:row>
    <x:row r="51">
      <x:c r="A51" s="16" t="str">
        <x:v>ORD-0050</x:v>
      </x:c>
      <x:c r="B51" s="17" t="str">
        <x:v>Chiara Esposito</x:v>
      </x:c>
      <x:c r="C51" s="17" t="str">
        <x:v>Software</x:v>
      </x:c>
      <x:c r="D51" s="28" t="n">
        <x:v>20</x:v>
      </x:c>
      <x:c r="E51" s="32" t="n">
        <x:v>274.09</x:v>
      </x:c>
      <x:c r="F51" s="36" t="n">
        <x:v>0.2</x:v>
      </x:c>
      <x:c r="G51" s="32" t="n">
        <x:f>D51*E51</x:f>
        <x:v>5481.799999999999</x:v>
      </x:c>
      <x:c r="H51" s="32" t="n">
        <x:f>G51*(1-F51)</x:f>
        <x:v>4385.44</x:v>
      </x:c>
      <x:c r="I51" s="40" t="n">
        <x:v>46171</x:v>
      </x:c>
      <x:c r="J51" s="18" t="str">
        <x:v>In lavorazione</x:v>
      </x:c>
    </x:row>
  </x:sheetData>
  <x:conditionalFormatting sqref="H2:H51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{51E76FA2-F802-DB87-0A03-FBFB939A7A49}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651e4f12234f0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E76FA2-F802-DB87-0A03-FBFB939A7A49}">
            <x14:dataBar gradient="1">
              <x14:cfvo type="min"/>
              <x14:cfvo type="max"/>
              <x14:fillColor rgb="FF5B9BD5"/>
            </x14:dataBar>
          </x14:cfRule>
          <xm:sqref>H2:H51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16" hidden="0" customWidth="1"/>
    <x:col min="5" max="5" width="12" hidden="0" customWidth="1"/>
  </x:cols>
  <x:sheetData>
    <x:row r="1">
      <x:c r="A1" s="45" t="str">
        <x:v>Riepilogo dati casuali</x:v>
      </x:c>
      <x:c r="B1" s="45"/>
      <x:c r="C1" s="45"/>
      <x:c r="D1" s="45"/>
    </x:row>
    <x:row r="3">
      <x:c r="A3" s="53" t="str">
        <x:v>Indicatore</x:v>
      </x:c>
      <x:c r="B3" s="54" t="str">
        <x:v>Valore</x:v>
      </x:c>
      <x:c r="D3" s="50" t="str">
        <x:v>Categoria</x:v>
      </x:c>
      <x:c r="E3" s="50" t="str">
        <x:v>N. ordini</x:v>
      </x:c>
    </x:row>
    <x:row r="4">
      <x:c r="A4" s="55" t="str">
        <x:v>Numero ordini</x:v>
      </x:c>
      <x:c r="B4" s="56" t="n">
        <x:f>COUNTA(Dati!A2:A51)</x:f>
        <x:v>50</x:v>
      </x:c>
      <x:c r="D4" t="str">
        <x:v>Hardware</x:v>
      </x:c>
      <x:c r="E4" t="n">
        <x:f>COUNTIF(Dati!C2:C51,D4)</x:f>
        <x:v>8</x:v>
      </x:c>
    </x:row>
    <x:row r="5">
      <x:c r="A5" s="55" t="str">
        <x:v>Quantità totale</x:v>
      </x:c>
      <x:c r="B5" s="56" t="n">
        <x:f>SUM(Dati!D2:D51)</x:f>
        <x:v>545</x:v>
      </x:c>
      <x:c r="D5" t="str">
        <x:v>Software</x:v>
      </x:c>
      <x:c r="E5" t="n">
        <x:f>COUNTIF(Dati!C2:C51,D5)</x:f>
        <x:v>9</x:v>
      </x:c>
    </x:row>
    <x:row r="6">
      <x:c r="A6" s="55" t="str">
        <x:v>Fatturato lordo</x:v>
      </x:c>
      <x:c r="B6" s="57" t="n">
        <x:f>SUM(Dati!G2:G51)</x:f>
        <x:v>243672.84999999995</x:v>
      </x:c>
      <x:c r="D6" t="str">
        <x:v>Servizi</x:v>
      </x:c>
      <x:c r="E6" t="n">
        <x:f>COUNTIF(Dati!C2:C51,D6)</x:f>
        <x:v>14</x:v>
      </x:c>
    </x:row>
    <x:row r="7">
      <x:c r="A7" s="55" t="str">
        <x:v>Fatturato netto</x:v>
      </x:c>
      <x:c r="B7" s="57" t="n">
        <x:f>SUM(Dati!H2:H51)</x:f>
        <x:v>221980.506</x:v>
      </x:c>
      <x:c r="D7" t="str">
        <x:v>Accessori</x:v>
      </x:c>
      <x:c r="E7" t="n">
        <x:f>COUNTIF(Dati!C2:C51,D7)</x:f>
        <x:v>8</x:v>
      </x:c>
    </x:row>
    <x:row r="8">
      <x:c r="A8" s="58" t="str">
        <x:v>Valore medio ordine</x:v>
      </x:c>
      <x:c r="B8" s="59" t="n">
        <x:f>AVERAGE(Dati!H2:H51)</x:f>
        <x:v>4439.61012</x:v>
      </x:c>
      <x:c r="D8" t="str">
        <x:v>Licenze</x:v>
      </x:c>
      <x:c r="E8" t="n">
        <x:f>COUNTIF(Dati!C2:C51,D8)</x:f>
        <x:v>11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c95695318e6a426d"/>
</x:worksheet>
</file>